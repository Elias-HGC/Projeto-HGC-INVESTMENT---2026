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as\Desktop\Prova\"/>
    </mc:Choice>
  </mc:AlternateContent>
  <bookViews>
    <workbookView xWindow="0" yWindow="0" windowWidth="20400" windowHeight="7650" activeTab="1"/>
  </bookViews>
  <sheets>
    <sheet name="Planilha3" sheetId="3" r:id="rId1"/>
    <sheet name="Planilha1" sheetId="1" r:id="rId2"/>
    <sheet name="Planilha2" sheetId="2" r:id="rId3"/>
  </sheets>
  <definedNames>
    <definedName name="Acumulo">Planilha1!$D$18</definedName>
    <definedName name="Dividendos_mensais">Planilha1!$D$19</definedName>
    <definedName name="Investir_mensal">Planilha1!$D$15</definedName>
    <definedName name="Qtd_anos">Planilha1!$D$16</definedName>
    <definedName name="Rendimento_Carteira">Planilha1!$D$11</definedName>
    <definedName name="Sugestao_Investimento">Planilha1!$D$12</definedName>
    <definedName name="Taxa_mensal">Planilha1!$D$17</definedName>
  </definedNames>
  <calcPr calcId="162913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A8" i="2" l="1"/>
  <c r="A9" i="2"/>
  <c r="A10" i="2"/>
  <c r="A11" i="2"/>
  <c r="A12" i="2"/>
  <c r="A13" i="2"/>
  <c r="A14" i="2"/>
  <c r="A15" i="2"/>
  <c r="A16" i="2"/>
  <c r="A17" i="2"/>
  <c r="A18" i="2"/>
  <c r="A19" i="2"/>
  <c r="A3" i="2"/>
  <c r="A4" i="2"/>
  <c r="A5" i="2"/>
  <c r="A6" i="2"/>
  <c r="A7" i="2"/>
  <c r="A2" i="2"/>
  <c r="D35" i="1"/>
  <c r="D36" i="1"/>
  <c r="D37" i="1"/>
  <c r="D38" i="1"/>
  <c r="D39" i="1"/>
  <c r="D34" i="1"/>
  <c r="D40" i="1" l="1"/>
  <c r="C22" i="1"/>
  <c r="D22" i="1" s="1"/>
  <c r="C23" i="1"/>
  <c r="D23" i="1" s="1"/>
  <c r="C24" i="1"/>
  <c r="D24" i="1" s="1"/>
  <c r="C25" i="1"/>
  <c r="D25" i="1" s="1"/>
  <c r="C26" i="1"/>
  <c r="D26" i="1" s="1"/>
  <c r="D18" i="1"/>
  <c r="D19" i="1" s="1"/>
  <c r="D12" i="1" l="1"/>
</calcChain>
</file>

<file path=xl/sharedStrings.xml><?xml version="1.0" encoding="utf-8"?>
<sst xmlns="http://schemas.openxmlformats.org/spreadsheetml/2006/main" count="75" uniqueCount="37">
  <si>
    <t>INVESTIMENTO MENSAL</t>
  </si>
  <si>
    <t>Quando investir por mês?</t>
  </si>
  <si>
    <t>Por quantos Anos?</t>
  </si>
  <si>
    <t>Taxa de Rendimento Mensal/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</si>
  <si>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</si>
  <si>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</si>
  <si>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</si>
  <si>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</si>
  <si>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</si>
  <si>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</si>
  <si>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</si>
  <si>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</si>
  <si>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Salario</t>
  </si>
  <si>
    <t>Rendimento Carteira</t>
  </si>
  <si>
    <t>Sugestão de Investimento</t>
  </si>
  <si>
    <t>CONFIGURAÇÕES</t>
  </si>
  <si>
    <t>DIVIDENDO</t>
  </si>
  <si>
    <t>Perfil</t>
  </si>
  <si>
    <t>Agressivo</t>
  </si>
  <si>
    <t>Valor a ser investido por mês</t>
  </si>
  <si>
    <t>Tipo de FII</t>
  </si>
  <si>
    <t>Porcentual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</si>
  <si>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</si>
  <si>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</si>
  <si>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</si>
  <si>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</si>
  <si>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</si>
  <si>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</si>
  <si>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</si>
  <si>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</si>
  <si>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Conservador</t>
  </si>
  <si>
    <t>Moderado</t>
  </si>
  <si>
    <t>Chave</t>
  </si>
  <si>
    <t>Rótulos de Linha</t>
  </si>
  <si>
    <t>Total Geral</t>
  </si>
  <si>
    <t>Soma de Porcentual Sugerido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</si>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</sst>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164" formatCode="&quot;R$&quot;\ #,##0.00"/>
  </numFmts>
  <fonts count="9" x14ac:knownFonts="1">
    <font>
      <sz val="11"/>
      <color theme="1"/>
      <name val="Century Schoolbook"/>
      <family val="2"/>
      <scheme val="minor"/>
    </font>
    <font>
      <b/>
      <sz val="11"/>
      <color theme="1"/>
      <name val="Century Schoolbook"/>
      <family val="2"/>
      <scheme val="minor"/>
    </font>
    <font>
      <b/>
      <sz val="20"/>
      <color theme="0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0"/>
      <name val="Century Schoolbook"/>
      <family val="2"/>
      <scheme val="minor"/>
    </font>
    <font>
      <b/>
      <sz val="12"/>
      <color theme="0"/>
      <name val="Century Schoolbook"/>
      <family val="2"/>
      <scheme val="minor"/>
    </font>
    <font>
      <sz val="36"/>
      <color theme="1"/>
      <name val="Century Schoolbook"/>
      <family val="2"/>
      <scheme val="minor"/>
    </font>
    <font>
      <sz val="14"/>
      <color theme="0"/>
      <name val="Century Schoolbook"/>
      <family val="2"/>
      <scheme val="minor"/>
    </font>
    <font>
      <b/>
      <sz val="12"/>
      <color theme="1"/>
      <name val="Century Schoolbook"/>
      <family val="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BDB4"/>
        <bgColor indexed="64"/>
      </patternFill>
    </fill>
    <fill>
      <patternFill patternType="solid">
        <fgColor theme="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6" borderId="0" applyNumberFormat="0" applyBorder="0" applyAlignment="0" applyProtection="0"/>
  </cellStyleXfs>
  <cellXfs count="54">
    <xf numFmtId="0" fontId="0" fillId="0" borderId="0" xfId="0"/>
    <xf numFmtId="0" fontId="4" fillId="0" borderId="0" xfId="0" applyFont="1"/>
    <xf numFmtId="0" fontId="6" fillId="4" borderId="0" xfId="0" applyFont="1" applyFill="1" applyAlignment="1">
      <alignment vertical="center"/>
    </xf>
    <xf numFmtId="8" fontId="0" fillId="3" borderId="2" xfId="0" applyNumberFormat="1" applyFill="1" applyBorder="1" applyAlignment="1">
      <alignment horizontal="left"/>
    </xf>
    <xf numFmtId="9" fontId="0" fillId="0" borderId="4" xfId="0" applyNumberFormat="1" applyBorder="1" applyAlignment="1">
      <alignment horizontal="left"/>
    </xf>
    <xf numFmtId="164" fontId="0" fillId="0" borderId="6" xfId="0" applyNumberFormat="1" applyBorder="1" applyAlignment="1">
      <alignment horizontal="left"/>
    </xf>
    <xf numFmtId="1" fontId="1" fillId="0" borderId="4" xfId="0" applyNumberFormat="1" applyFont="1" applyBorder="1" applyAlignment="1">
      <alignment horizontal="left" vertical="center"/>
    </xf>
    <xf numFmtId="10" fontId="1" fillId="0" borderId="4" xfId="1" applyNumberFormat="1" applyFont="1" applyBorder="1" applyAlignment="1">
      <alignment horizontal="left" vertical="center"/>
    </xf>
    <xf numFmtId="8" fontId="1" fillId="3" borderId="4" xfId="0" applyNumberFormat="1" applyFont="1" applyFill="1" applyBorder="1" applyAlignment="1">
      <alignment horizontal="left" vertical="center"/>
    </xf>
    <xf numFmtId="8" fontId="1" fillId="3" borderId="6" xfId="0" applyNumberFormat="1" applyFont="1" applyFill="1" applyBorder="1" applyAlignment="1">
      <alignment horizontal="left" vertical="center"/>
    </xf>
    <xf numFmtId="8" fontId="0" fillId="3" borderId="4" xfId="0" applyNumberFormat="1" applyFill="1" applyBorder="1" applyAlignment="1">
      <alignment horizontal="left"/>
    </xf>
    <xf numFmtId="8" fontId="0" fillId="3" borderId="9" xfId="0" applyNumberFormat="1" applyFill="1" applyBorder="1" applyAlignment="1">
      <alignment horizontal="left"/>
    </xf>
    <xf numFmtId="8" fontId="0" fillId="3" borderId="6" xfId="0" applyNumberFormat="1" applyFill="1" applyBorder="1" applyAlignment="1">
      <alignment horizontal="left"/>
    </xf>
    <xf numFmtId="0" fontId="2" fillId="2" borderId="8" xfId="0" applyFont="1" applyFill="1" applyBorder="1" applyAlignment="1">
      <alignment vertical="center"/>
    </xf>
    <xf numFmtId="164" fontId="0" fillId="0" borderId="4" xfId="0" applyNumberFormat="1" applyBorder="1" applyAlignment="1">
      <alignment horizontal="left"/>
    </xf>
    <xf numFmtId="164" fontId="1" fillId="0" borderId="4" xfId="0" applyNumberFormat="1" applyFont="1" applyBorder="1" applyAlignment="1">
      <alignment horizontal="left" vertical="center"/>
    </xf>
    <xf numFmtId="0" fontId="2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indent="7"/>
    </xf>
    <xf numFmtId="0" fontId="0" fillId="3" borderId="5" xfId="0" applyFill="1" applyBorder="1" applyAlignment="1">
      <alignment horizontal="left" indent="7"/>
    </xf>
    <xf numFmtId="0" fontId="0" fillId="0" borderId="0" xfId="0" applyAlignment="1">
      <alignment horizontal="center"/>
    </xf>
    <xf numFmtId="0" fontId="7" fillId="6" borderId="0" xfId="2" applyFont="1" applyAlignment="1">
      <alignment vertical="center"/>
    </xf>
    <xf numFmtId="0" fontId="0" fillId="7" borderId="0" xfId="0" applyFill="1"/>
    <xf numFmtId="9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8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7" fillId="6" borderId="0" xfId="2" applyFont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7"/>
    </xf>
    <xf numFmtId="0" fontId="0" fillId="0" borderId="2" xfId="0" applyBorder="1" applyAlignment="1">
      <alignment horizontal="left" indent="7"/>
    </xf>
    <xf numFmtId="0" fontId="0" fillId="0" borderId="5" xfId="0" applyBorder="1" applyAlignment="1">
      <alignment horizontal="left" indent="7"/>
    </xf>
    <xf numFmtId="0" fontId="0" fillId="0" borderId="9" xfId="0" applyBorder="1" applyAlignment="1">
      <alignment horizontal="left" indent="7"/>
    </xf>
    <xf numFmtId="0" fontId="1" fillId="3" borderId="3" xfId="0" applyFont="1" applyFill="1" applyBorder="1" applyAlignment="1">
      <alignment horizontal="left" indent="7"/>
    </xf>
    <xf numFmtId="0" fontId="1" fillId="3" borderId="2" xfId="0" applyFont="1" applyFill="1" applyBorder="1" applyAlignment="1">
      <alignment horizontal="left" indent="7"/>
    </xf>
    <xf numFmtId="0" fontId="1" fillId="3" borderId="5" xfId="0" applyFont="1" applyFill="1" applyBorder="1" applyAlignment="1">
      <alignment horizontal="left" indent="7"/>
    </xf>
    <xf numFmtId="0" fontId="1" fillId="3" borderId="9" xfId="0" applyFont="1" applyFill="1" applyBorder="1" applyAlignment="1">
      <alignment horizontal="left" indent="7"/>
    </xf>
    <xf numFmtId="0" fontId="0" fillId="4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3">
    <cellStyle name="Ênfase2" xfId="2" builtinId="33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D0BD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DIO.xlsx]Planilha3!Tabela dinâmica1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Planilha3!$B$3:$B$4</c:f>
              <c:strCache>
                <c:ptCount val="1"/>
                <c:pt idx="0">
                  <c:v>R$ 25,00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Planilha3!$A$5:$A$6</c:f>
              <c:strCache>
                <c:ptCount val="1"/>
                <c:pt idx="0">
                  <c:v>FOFs</c:v>
                </c:pt>
              </c:strCache>
            </c:strRef>
          </c:cat>
          <c:val>
            <c:numRef>
              <c:f>Planilha3!$B$5:$B$6</c:f>
              <c:numCache>
                <c:formatCode>General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76-49D0-81AF-8D3B4E0A0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088880"/>
        <c:axId val="1191090960"/>
      </c:barChart>
      <c:catAx>
        <c:axId val="119108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1090960"/>
        <c:crosses val="autoZero"/>
        <c:auto val="1"/>
        <c:lblAlgn val="ctr"/>
        <c:lblOffset val="100"/>
        <c:noMultiLvlLbl val="0"/>
      </c:catAx>
      <c:valAx>
        <c:axId val="119109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10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Planilha1!$C$33</c:f>
              <c:strCache>
                <c:ptCount val="1"/>
                <c:pt idx="0">
                  <c:v>Porcentual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9-4529-A0B2-BB582490378E}"/>
            </c:ext>
          </c:extLst>
        </c:ser>
        <c:ser>
          <c:idx val="1"/>
          <c:order val="1"/>
          <c:tx>
            <c:strRef>
              <c:f>Planilha1!$D$33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Planilha1!$D$34:$D$39</c:f>
              <c:numCache>
                <c:formatCode>"R$"\ #,##0.00</c:formatCode>
                <c:ptCount val="6"/>
                <c:pt idx="0">
                  <c:v>250</c:v>
                </c:pt>
                <c:pt idx="1">
                  <c:v>50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9-4529-A0B2-BB58249037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7</xdr:col>
      <xdr:colOff>428625</xdr:colOff>
      <xdr:row>15</xdr:row>
      <xdr:rowOff>28575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1</xdr:row>
      <xdr:rowOff>38100</xdr:rowOff>
    </xdr:from>
    <xdr:to>
      <xdr:col>5</xdr:col>
      <xdr:colOff>104775</xdr:colOff>
      <xdr:row>6</xdr:row>
      <xdr:rowOff>76200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298" b="41057"/>
        <a:stretch/>
      </xdr:blipFill>
      <xdr:spPr>
        <a:xfrm>
          <a:off x="676275" y="219075"/>
          <a:ext cx="8486775" cy="942975"/>
        </a:xfrm>
        <a:prstGeom prst="rect">
          <a:avLst/>
        </a:prstGeom>
      </xdr:spPr>
    </xdr:pic>
    <xdr:clientData/>
  </xdr:twoCellAnchor>
  <xdr:twoCellAnchor>
    <xdr:from>
      <xdr:col>0</xdr:col>
      <xdr:colOff>661987</xdr:colOff>
      <xdr:row>39</xdr:row>
      <xdr:rowOff>171450</xdr:rowOff>
    </xdr:from>
    <xdr:to>
      <xdr:col>2</xdr:col>
      <xdr:colOff>252412</xdr:colOff>
      <xdr:row>55</xdr:row>
      <xdr:rowOff>19050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lias" refreshedDate="46043.909881597225" createdVersion="6" refreshedVersion="6" minRefreshableVersion="3" recordCount="6">
  <cacheSource type="worksheet">
    <worksheetSource ref="B33:D39" sheet="Planilha1"/>
  </cacheSource>
  <cacheFields count="3">
    <cacheField name="Tipo de FII" numFmtId="0">
      <sharedItems count="6">
        <s v="PAPEL"/>
        <s v="TIJOLO"/>
        <s v="HÍBRIDOS"/>
        <s v="FOFs"/>
        <s v="DESENVOLVIMENTO"/>
        <s v="HOTELARIAS"/>
      </sharedItems>
    </cacheField>
    <cacheField name="Porcentual Sugerido" numFmtId="9">
      <sharedItems containsSemiMixedTypes="0" containsString="0" containsNumber="1" minValue="0.05" maxValue="0.35" count="5">
        <n v="0.32"/>
        <n v="0.35"/>
        <n v="0.08"/>
        <n v="0.05"/>
        <n v="0.1"/>
      </sharedItems>
    </cacheField>
    <cacheField name="Valores2" numFmtId="164">
      <sharedItems containsSemiMixedTypes="0" containsString="0" containsNumber="1" containsInteger="1" minValue="25" maxValue="175" count="5">
        <n v="160"/>
        <n v="175"/>
        <n v="40"/>
        <n v="25"/>
        <n v="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C6" firstHeaderRow="1" firstDataRow="2" firstDataCol="1"/>
  <pivotFields count="3">
    <pivotField axis="axisRow" showAll="0">
      <items count="7">
        <item h="1" x="4"/>
        <item x="3"/>
        <item h="1" x="2"/>
        <item h="1" x="5"/>
        <item h="1" x="0"/>
        <item h="1" x="1"/>
        <item t="default"/>
      </items>
    </pivotField>
    <pivotField dataField="1" numFmtId="9" showAll="0">
      <items count="6">
        <item x="3"/>
        <item x="2"/>
        <item x="4"/>
        <item x="0"/>
        <item x="1"/>
        <item t="default"/>
      </items>
    </pivotField>
    <pivotField axis="axisCol" numFmtId="164" showAll="0">
      <items count="6">
        <item x="3"/>
        <item x="2"/>
        <item x="4"/>
        <item x="0"/>
        <item x="1"/>
        <item t="default"/>
      </items>
    </pivotField>
  </pivotFields>
  <rowFields count="1">
    <field x="0"/>
  </rowFields>
  <rowItems count="2">
    <i>
      <x v="1"/>
    </i>
    <i t="grand">
      <x/>
    </i>
  </rowItems>
  <colFields count="1">
    <field x="2"/>
  </colFields>
  <colItems count="2">
    <i>
      <x/>
    </i>
    <i t="grand">
      <x/>
    </i>
  </colItems>
  <dataFields count="1">
    <dataField name="Soma de Porcentual Sugerido" fld="1" baseField="0" baseItem="0"/>
  </dataField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A3" sqref="A3"/>
    </sheetView>
  </sheetViews>
  <sheetFormatPr defaultRowHeight="14.25" x14ac:dyDescent="0.2"/>
  <cols>
    <col min="1" max="1" width="30.25" customWidth="1"/>
    <col min="2" max="2" width="21" customWidth="1"/>
    <col min="3" max="3" width="12.125" customWidth="1"/>
    <col min="4" max="4" width="9.25" customWidth="1"/>
    <col min="5" max="6" width="10.375" customWidth="1"/>
    <col min="7" max="7" width="12.125" bestFit="1" customWidth="1"/>
  </cols>
  <sheetData>
    <row r="3" spans="1:3" x14ac:dyDescent="0.2">
      <c r="A3" s="50" t="s">
        <v>35</v>
      </c>
      <c r="B3" s="50" t="s">
        <v>36</v>
      </c>
    </row>
    <row r="4" spans="1:3" x14ac:dyDescent="0.2">
      <c r="A4" s="50" t="s">
        <v>33</v>
      </c>
      <c r="B4" s="53">
        <v>25</v>
      </c>
      <c r="C4" s="53" t="s">
        <v>34</v>
      </c>
    </row>
    <row r="5" spans="1:3" x14ac:dyDescent="0.2">
      <c r="A5" s="51" t="s">
        <v>26</v>
      </c>
      <c r="B5" s="52">
        <v>0.05</v>
      </c>
      <c r="C5" s="52">
        <v>0.05</v>
      </c>
    </row>
    <row r="6" spans="1:3" x14ac:dyDescent="0.2">
      <c r="A6" s="51" t="s">
        <v>34</v>
      </c>
      <c r="B6" s="52">
        <v>0.05</v>
      </c>
      <c r="C6" s="52">
        <v>0.05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FD40"/>
  <sheetViews>
    <sheetView showGridLines="0" tabSelected="1" topLeftCell="A31" workbookViewId="0">
      <selection activeCell="C30" sqref="C30"/>
    </sheetView>
  </sheetViews>
  <sheetFormatPr defaultColWidth="0" defaultRowHeight="14.25" x14ac:dyDescent="0.2"/>
  <cols>
    <col min="1" max="1" width="9" customWidth="1"/>
    <col min="2" max="2" width="56.375" customWidth="1"/>
    <col min="3" max="3" width="39.125" customWidth="1"/>
    <col min="4" max="4" width="14.375" customWidth="1"/>
    <col min="5" max="5" width="12.375" hidden="1" customWidth="1"/>
    <col min="6" max="6" width="7.625" customWidth="1"/>
    <col min="7" max="16383" width="9" hidden="1"/>
    <col min="16384" max="16384" width="1.125" customWidth="1"/>
  </cols>
  <sheetData>
    <row r="3" spans="2:5" ht="14.25" customHeight="1" x14ac:dyDescent="0.2">
      <c r="B3" s="2"/>
      <c r="C3" s="2"/>
      <c r="D3" s="2"/>
      <c r="E3" s="2"/>
    </row>
    <row r="4" spans="2:5" ht="14.25" customHeight="1" x14ac:dyDescent="0.2">
      <c r="B4" s="2"/>
      <c r="C4" s="2"/>
      <c r="D4" s="2"/>
      <c r="E4" s="2"/>
    </row>
    <row r="5" spans="2:5" ht="14.25" customHeight="1" x14ac:dyDescent="0.2">
      <c r="B5" s="2"/>
      <c r="C5" s="2"/>
      <c r="D5" s="2"/>
      <c r="E5" s="2"/>
    </row>
    <row r="6" spans="2:5" ht="14.25" customHeight="1" x14ac:dyDescent="0.2">
      <c r="B6" s="2"/>
      <c r="C6" s="2"/>
      <c r="D6" s="2"/>
      <c r="E6" s="2"/>
    </row>
    <row r="8" spans="2:5" ht="15" thickBot="1" x14ac:dyDescent="0.25"/>
    <row r="9" spans="2:5" ht="25.5" x14ac:dyDescent="0.2">
      <c r="B9" s="39" t="s">
        <v>15</v>
      </c>
      <c r="C9" s="40"/>
      <c r="D9" s="19"/>
    </row>
    <row r="10" spans="2:5" x14ac:dyDescent="0.2">
      <c r="B10" s="41" t="s">
        <v>12</v>
      </c>
      <c r="C10" s="42"/>
      <c r="D10" s="14">
        <v>5000</v>
      </c>
    </row>
    <row r="11" spans="2:5" x14ac:dyDescent="0.2">
      <c r="B11" s="41" t="s">
        <v>13</v>
      </c>
      <c r="C11" s="42"/>
      <c r="D11" s="4">
        <v>0.01</v>
      </c>
    </row>
    <row r="12" spans="2:5" ht="15" thickBot="1" x14ac:dyDescent="0.25">
      <c r="B12" s="43" t="s">
        <v>14</v>
      </c>
      <c r="C12" s="44"/>
      <c r="D12" s="5">
        <f>D10*30%</f>
        <v>1500</v>
      </c>
    </row>
    <row r="13" spans="2:5" ht="15" thickBot="1" x14ac:dyDescent="0.25"/>
    <row r="14" spans="2:5" ht="38.25" customHeight="1" x14ac:dyDescent="0.2">
      <c r="B14" s="37" t="s">
        <v>0</v>
      </c>
      <c r="C14" s="38"/>
      <c r="D14" s="13"/>
    </row>
    <row r="15" spans="2:5" ht="15" x14ac:dyDescent="0.2">
      <c r="B15" s="41" t="s">
        <v>1</v>
      </c>
      <c r="C15" s="42"/>
      <c r="D15" s="15">
        <v>500</v>
      </c>
    </row>
    <row r="16" spans="2:5" ht="15" x14ac:dyDescent="0.2">
      <c r="B16" s="41" t="s">
        <v>2</v>
      </c>
      <c r="C16" s="42"/>
      <c r="D16" s="6">
        <v>5</v>
      </c>
    </row>
    <row r="17" spans="1:4" ht="15" x14ac:dyDescent="0.2">
      <c r="B17" s="41" t="s">
        <v>3</v>
      </c>
      <c r="C17" s="42"/>
      <c r="D17" s="7">
        <v>1.0789999999999999E-2</v>
      </c>
    </row>
    <row r="18" spans="1:4" ht="15" x14ac:dyDescent="0.25">
      <c r="B18" s="45" t="s">
        <v>4</v>
      </c>
      <c r="C18" s="46"/>
      <c r="D18" s="8">
        <f>FV(Taxa_mensal,Qtd_anos*12,Investir_mensal*-1)</f>
        <v>41888.456999243819</v>
      </c>
    </row>
    <row r="19" spans="1:4" ht="15.75" thickBot="1" x14ac:dyDescent="0.3">
      <c r="B19" s="47" t="s">
        <v>5</v>
      </c>
      <c r="C19" s="48"/>
      <c r="D19" s="9">
        <f>Acumulo*Rendimento_Carteira</f>
        <v>418.88456999243817</v>
      </c>
    </row>
    <row r="20" spans="1:4" ht="15" thickBot="1" x14ac:dyDescent="0.25"/>
    <row r="21" spans="1:4" ht="25.5" x14ac:dyDescent="0.2">
      <c r="B21" s="16" t="s">
        <v>11</v>
      </c>
      <c r="C21" s="17"/>
      <c r="D21" s="18" t="s">
        <v>16</v>
      </c>
    </row>
    <row r="22" spans="1:4" x14ac:dyDescent="0.2">
      <c r="A22" s="1">
        <v>2</v>
      </c>
      <c r="B22" s="20" t="s">
        <v>6</v>
      </c>
      <c r="C22" s="3">
        <f>FV($D$17,$A22*12,$D$15*-1)</f>
        <v>13613.813648822608</v>
      </c>
      <c r="D22" s="10">
        <f>C22*Rendimento_Carteira</f>
        <v>136.13813648822608</v>
      </c>
    </row>
    <row r="23" spans="1:4" x14ac:dyDescent="0.2">
      <c r="A23" s="1">
        <v>5</v>
      </c>
      <c r="B23" s="20" t="s">
        <v>7</v>
      </c>
      <c r="C23" s="3">
        <f>FV($D$17,$A23*12,$D$15*-1)</f>
        <v>41888.456999243819</v>
      </c>
      <c r="D23" s="10">
        <f>C23*Rendimento_Carteira</f>
        <v>418.88456999243817</v>
      </c>
    </row>
    <row r="24" spans="1:4" x14ac:dyDescent="0.2">
      <c r="A24" s="1">
        <v>10</v>
      </c>
      <c r="B24" s="20" t="s">
        <v>8</v>
      </c>
      <c r="C24" s="3">
        <f>FV($D$17,$A24*12,$D$15*-1)</f>
        <v>121642.1062650861</v>
      </c>
      <c r="D24" s="10">
        <f>C24*Rendimento_Carteira</f>
        <v>1216.4210626508609</v>
      </c>
    </row>
    <row r="25" spans="1:4" x14ac:dyDescent="0.2">
      <c r="A25" s="1">
        <v>20</v>
      </c>
      <c r="B25" s="20" t="s">
        <v>9</v>
      </c>
      <c r="C25" s="3">
        <f>FV($D$17,$A25*12,$D$15*-1)</f>
        <v>562599.20004854025</v>
      </c>
      <c r="D25" s="10">
        <f>C25*Rendimento_Carteira</f>
        <v>5625.992000485403</v>
      </c>
    </row>
    <row r="26" spans="1:4" ht="15" thickBot="1" x14ac:dyDescent="0.25">
      <c r="A26" s="1">
        <v>30</v>
      </c>
      <c r="B26" s="21" t="s">
        <v>10</v>
      </c>
      <c r="C26" s="11">
        <f>FV($D$17,$A26*12,$D$15*-1)</f>
        <v>2161084.8275023573</v>
      </c>
      <c r="D26" s="12">
        <f>C26*Rendimento_Carteira</f>
        <v>21610.848275023574</v>
      </c>
    </row>
    <row r="30" spans="1:4" ht="18" x14ac:dyDescent="0.2">
      <c r="B30" s="23" t="s">
        <v>17</v>
      </c>
      <c r="C30" s="32" t="s">
        <v>18</v>
      </c>
      <c r="D30" s="23"/>
    </row>
    <row r="31" spans="1:4" x14ac:dyDescent="0.2">
      <c r="B31" s="24" t="s">
        <v>19</v>
      </c>
      <c r="C31" s="27">
        <v>500</v>
      </c>
      <c r="D31" s="26"/>
    </row>
    <row r="33" spans="1:4" ht="15" x14ac:dyDescent="0.2">
      <c r="A33" s="49"/>
      <c r="B33" s="29" t="s">
        <v>20</v>
      </c>
      <c r="C33" s="29" t="s">
        <v>21</v>
      </c>
      <c r="D33" s="29" t="s">
        <v>22</v>
      </c>
    </row>
    <row r="34" spans="1:4" x14ac:dyDescent="0.2">
      <c r="B34" s="22" t="s">
        <v>23</v>
      </c>
      <c r="C34" s="25">
        <f>VLOOKUP($C$30&amp;"-"&amp;B34,Planilha2!$A:$D,4,FALSE)</f>
        <v>0.5</v>
      </c>
      <c r="D34" s="28">
        <f>C34*$C$31</f>
        <v>250</v>
      </c>
    </row>
    <row r="35" spans="1:4" x14ac:dyDescent="0.2">
      <c r="B35" s="22" t="s">
        <v>24</v>
      </c>
      <c r="C35" s="25">
        <f>VLOOKUP($C$30&amp;"-"&amp;B35,Planilha2!$A:$D,4,FALSE)</f>
        <v>0.1</v>
      </c>
      <c r="D35" s="28">
        <f t="shared" ref="D35:D39" si="0">C35*$C$31</f>
        <v>50</v>
      </c>
    </row>
    <row r="36" spans="1:4" x14ac:dyDescent="0.2">
      <c r="B36" s="22" t="s">
        <v>25</v>
      </c>
      <c r="C36" s="25">
        <f>VLOOKUP($C$30&amp;"-"&amp;B36,Planilha2!$A:$D,4,FALSE)</f>
        <v>0.05</v>
      </c>
      <c r="D36" s="28">
        <f t="shared" si="0"/>
        <v>25</v>
      </c>
    </row>
    <row r="37" spans="1:4" x14ac:dyDescent="0.2">
      <c r="B37" s="22" t="s">
        <v>26</v>
      </c>
      <c r="C37" s="25">
        <f>VLOOKUP($C$30&amp;"-"&amp;B37,Planilha2!$A:$D,4,FALSE)</f>
        <v>0.05</v>
      </c>
      <c r="D37" s="28">
        <f t="shared" si="0"/>
        <v>25</v>
      </c>
    </row>
    <row r="38" spans="1:4" x14ac:dyDescent="0.2">
      <c r="B38" s="22" t="s">
        <v>27</v>
      </c>
      <c r="C38" s="25">
        <f>VLOOKUP($C$30&amp;"-"&amp;B38,Planilha2!$A:$D,4,FALSE)</f>
        <v>0.2</v>
      </c>
      <c r="D38" s="28">
        <f t="shared" si="0"/>
        <v>100</v>
      </c>
    </row>
    <row r="39" spans="1:4" x14ac:dyDescent="0.2">
      <c r="B39" s="22" t="s">
        <v>28</v>
      </c>
      <c r="C39" s="25">
        <f>VLOOKUP($C$30&amp;"-"&amp;B39,Planilha2!$A:$D,4,FALSE)</f>
        <v>0.1</v>
      </c>
      <c r="D39" s="28">
        <f t="shared" si="0"/>
        <v>50</v>
      </c>
    </row>
    <row r="40" spans="1:4" x14ac:dyDescent="0.2">
      <c r="A40" s="49"/>
      <c r="B40" s="30"/>
      <c r="C40" s="30"/>
      <c r="D40" s="31">
        <f>SUM(D34:D39)</f>
        <v>500</v>
      </c>
    </row>
  </sheetData>
  <mergeCells count="10">
    <mergeCell ref="B15:C15"/>
    <mergeCell ref="B16:C16"/>
    <mergeCell ref="B17:C17"/>
    <mergeCell ref="B18:C18"/>
    <mergeCell ref="B19:C19"/>
    <mergeCell ref="B14:C14"/>
    <mergeCell ref="B9:C9"/>
    <mergeCell ref="B10:C10"/>
    <mergeCell ref="B11:C11"/>
    <mergeCell ref="B12:C12"/>
  </mergeCells>
  <dataValidations count="1">
    <dataValidation type="list" allowBlank="1" showInputMessage="1" showErrorMessage="1" sqref="C30:D30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XFD1"/>
    </sheetView>
  </sheetViews>
  <sheetFormatPr defaultRowHeight="14.25" x14ac:dyDescent="0.2"/>
  <cols>
    <col min="1" max="1" width="32.875" customWidth="1"/>
    <col min="2" max="2" width="11.875" customWidth="1"/>
    <col min="3" max="3" width="21.75" bestFit="1" customWidth="1"/>
    <col min="4" max="4" width="9" style="22"/>
  </cols>
  <sheetData>
    <row r="1" spans="1:4" ht="15" x14ac:dyDescent="0.2">
      <c r="A1" t="s">
        <v>32</v>
      </c>
      <c r="B1" t="s">
        <v>17</v>
      </c>
      <c r="C1" s="29" t="s">
        <v>20</v>
      </c>
      <c r="D1" s="22" t="s">
        <v>29</v>
      </c>
    </row>
    <row r="2" spans="1:4" x14ac:dyDescent="0.2">
      <c r="A2" t="str">
        <f>B2&amp;"-"&amp;C2</f>
        <v>Conservador-PAPEL</v>
      </c>
      <c r="B2" t="s">
        <v>30</v>
      </c>
      <c r="C2" s="22" t="s">
        <v>23</v>
      </c>
      <c r="D2" s="25">
        <v>0.3</v>
      </c>
    </row>
    <row r="3" spans="1:4" x14ac:dyDescent="0.2">
      <c r="A3" t="str">
        <f t="shared" ref="A3:A19" si="0">B3&amp;"-"&amp;C3</f>
        <v>Conservador-TIJOLO</v>
      </c>
      <c r="B3" t="s">
        <v>30</v>
      </c>
      <c r="C3" s="22" t="s">
        <v>24</v>
      </c>
      <c r="D3" s="25">
        <v>0.5</v>
      </c>
    </row>
    <row r="4" spans="1:4" x14ac:dyDescent="0.2">
      <c r="A4" t="str">
        <f t="shared" si="0"/>
        <v>Conservador-HÍBRIDOS</v>
      </c>
      <c r="B4" t="s">
        <v>30</v>
      </c>
      <c r="C4" s="22" t="s">
        <v>25</v>
      </c>
      <c r="D4" s="25">
        <v>0.1</v>
      </c>
    </row>
    <row r="5" spans="1:4" x14ac:dyDescent="0.2">
      <c r="A5" t="str">
        <f t="shared" si="0"/>
        <v>Conservador-FOFs</v>
      </c>
      <c r="B5" t="s">
        <v>30</v>
      </c>
      <c r="C5" s="22" t="s">
        <v>26</v>
      </c>
      <c r="D5" s="25">
        <v>0.1</v>
      </c>
    </row>
    <row r="6" spans="1:4" x14ac:dyDescent="0.2">
      <c r="A6" t="str">
        <f t="shared" si="0"/>
        <v>Conservador-DESENVOLVIMENTO</v>
      </c>
      <c r="B6" t="s">
        <v>30</v>
      </c>
      <c r="C6" s="22" t="s">
        <v>27</v>
      </c>
      <c r="D6" s="25">
        <v>0</v>
      </c>
    </row>
    <row r="7" spans="1:4" ht="15" thickBot="1" x14ac:dyDescent="0.25">
      <c r="A7" s="33" t="str">
        <f t="shared" si="0"/>
        <v>Conservador-HOTELARIAS</v>
      </c>
      <c r="B7" s="33" t="s">
        <v>30</v>
      </c>
      <c r="C7" s="34" t="s">
        <v>28</v>
      </c>
      <c r="D7" s="35">
        <v>0</v>
      </c>
    </row>
    <row r="8" spans="1:4" x14ac:dyDescent="0.2">
      <c r="A8" t="str">
        <f t="shared" si="0"/>
        <v>Moderado-PAPEL</v>
      </c>
      <c r="B8" t="s">
        <v>31</v>
      </c>
      <c r="C8" s="22" t="s">
        <v>23</v>
      </c>
      <c r="D8" s="36">
        <v>0.32</v>
      </c>
    </row>
    <row r="9" spans="1:4" x14ac:dyDescent="0.2">
      <c r="A9" t="str">
        <f t="shared" si="0"/>
        <v>Moderado-TIJOLO</v>
      </c>
      <c r="B9" t="s">
        <v>31</v>
      </c>
      <c r="C9" s="22" t="s">
        <v>24</v>
      </c>
      <c r="D9" s="36">
        <v>0.35</v>
      </c>
    </row>
    <row r="10" spans="1:4" x14ac:dyDescent="0.2">
      <c r="A10" t="str">
        <f t="shared" si="0"/>
        <v>Moderado-HÍBRIDOS</v>
      </c>
      <c r="B10" t="s">
        <v>31</v>
      </c>
      <c r="C10" s="22" t="s">
        <v>25</v>
      </c>
      <c r="D10" s="36">
        <v>0.08</v>
      </c>
    </row>
    <row r="11" spans="1:4" x14ac:dyDescent="0.2">
      <c r="A11" t="str">
        <f t="shared" si="0"/>
        <v>Moderado-FOFs</v>
      </c>
      <c r="B11" t="s">
        <v>31</v>
      </c>
      <c r="C11" s="22" t="s">
        <v>26</v>
      </c>
      <c r="D11" s="36">
        <v>0.05</v>
      </c>
    </row>
    <row r="12" spans="1:4" x14ac:dyDescent="0.2">
      <c r="A12" t="str">
        <f t="shared" si="0"/>
        <v>Moderado-DESENVOLVIMENTO</v>
      </c>
      <c r="B12" t="s">
        <v>31</v>
      </c>
      <c r="C12" s="22" t="s">
        <v>27</v>
      </c>
      <c r="D12" s="36">
        <v>0.1</v>
      </c>
    </row>
    <row r="13" spans="1:4" ht="15" thickBot="1" x14ac:dyDescent="0.25">
      <c r="A13" s="33" t="str">
        <f t="shared" si="0"/>
        <v>Moderado-HOTELARIAS</v>
      </c>
      <c r="B13" s="33" t="s">
        <v>31</v>
      </c>
      <c r="C13" s="34" t="s">
        <v>28</v>
      </c>
      <c r="D13" s="35">
        <v>0.1</v>
      </c>
    </row>
    <row r="14" spans="1:4" x14ac:dyDescent="0.2">
      <c r="A14" t="str">
        <f t="shared" si="0"/>
        <v>Agressivo-PAPEL</v>
      </c>
      <c r="B14" t="s">
        <v>18</v>
      </c>
      <c r="C14" s="22" t="s">
        <v>23</v>
      </c>
      <c r="D14" s="36">
        <v>0.5</v>
      </c>
    </row>
    <row r="15" spans="1:4" x14ac:dyDescent="0.2">
      <c r="A15" t="str">
        <f t="shared" si="0"/>
        <v>Agressivo-TIJOLO</v>
      </c>
      <c r="B15" t="s">
        <v>18</v>
      </c>
      <c r="C15" s="22" t="s">
        <v>24</v>
      </c>
      <c r="D15" s="36">
        <v>0.1</v>
      </c>
    </row>
    <row r="16" spans="1:4" x14ac:dyDescent="0.2">
      <c r="A16" t="str">
        <f t="shared" si="0"/>
        <v>Agressivo-HÍBRIDOS</v>
      </c>
      <c r="B16" t="s">
        <v>18</v>
      </c>
      <c r="C16" s="22" t="s">
        <v>25</v>
      </c>
      <c r="D16" s="36">
        <v>0.05</v>
      </c>
    </row>
    <row r="17" spans="1:4" x14ac:dyDescent="0.2">
      <c r="A17" t="str">
        <f t="shared" si="0"/>
        <v>Agressivo-FOFs</v>
      </c>
      <c r="B17" t="s">
        <v>18</v>
      </c>
      <c r="C17" s="22" t="s">
        <v>26</v>
      </c>
      <c r="D17" s="36">
        <v>0.05</v>
      </c>
    </row>
    <row r="18" spans="1:4" x14ac:dyDescent="0.2">
      <c r="A18" t="str">
        <f t="shared" si="0"/>
        <v>Agressivo-DESENVOLVIMENTO</v>
      </c>
      <c r="B18" t="s">
        <v>18</v>
      </c>
      <c r="C18" s="22" t="s">
        <v>27</v>
      </c>
      <c r="D18" s="36">
        <v>0.2</v>
      </c>
    </row>
    <row r="19" spans="1:4" x14ac:dyDescent="0.2">
      <c r="A19" t="str">
        <f t="shared" si="0"/>
        <v>Agressivo-HOTELARIAS</v>
      </c>
      <c r="B19" t="s">
        <v>18</v>
      </c>
      <c r="C19" s="22" t="s">
        <v>28</v>
      </c>
      <c r="D19" s="3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Planilha3</vt:lpstr>
      <vt:lpstr>Planilha1</vt:lpstr>
      <vt:lpstr>Planilha2</vt:lpstr>
      <vt:lpstr>Acumulo</vt:lpstr>
      <vt:lpstr>Dividendos_mensais</vt:lpstr>
      <vt:lpstr>Investir_mensal</vt:lpstr>
      <vt:lpstr>Qtd_anos</vt:lpstr>
      <vt:lpstr>Rendimento_Carteira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</dc:creator>
  <cp:lastModifiedBy>Elias</cp:lastModifiedBy>
  <dcterms:created xsi:type="dcterms:W3CDTF">2026-01-19T21:17:38Z</dcterms:created>
  <dcterms:modified xsi:type="dcterms:W3CDTF">2026-01-22T00:52:09Z</dcterms:modified>
</cp:coreProperties>
</file>